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huntingtonedu-my.sharepoint.com/personal/jlehman_huntington_edu/Documents/Desktop/"/>
    </mc:Choice>
  </mc:AlternateContent>
  <xr:revisionPtr revIDLastSave="0" documentId="8_{860BADA7-79A4-4FEA-98A9-F917D507077A}" xr6:coauthVersionLast="47" xr6:coauthVersionMax="47" xr10:uidLastSave="{00000000-0000-0000-0000-000000000000}"/>
  <bookViews>
    <workbookView xWindow="-120" yWindow="-120" windowWidth="29040" windowHeight="15840" xr2:uid="{737F4196-0055-4858-B429-843510DAAC5A}"/>
  </bookViews>
  <sheets>
    <sheet name="Tanimoto AI" sheetId="1" r:id="rId1"/>
    <sheet name="Russel Norvig AI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9" i="2" l="1"/>
  <c r="D11" i="2"/>
  <c r="N4" i="2" s="1"/>
  <c r="M4" i="2"/>
  <c r="K4" i="2"/>
  <c r="J4" i="2"/>
  <c r="D6" i="1"/>
  <c r="D19" i="1"/>
  <c r="I7" i="1"/>
  <c r="N4" i="1"/>
  <c r="M4" i="1"/>
  <c r="K4" i="1"/>
  <c r="J4" i="1"/>
  <c r="I4" i="1" s="1"/>
  <c r="D13" i="1" s="1"/>
  <c r="D14" i="1" s="1"/>
  <c r="D11" i="1"/>
  <c r="I4" i="2" l="1"/>
  <c r="I7" i="2" s="1"/>
  <c r="D6" i="2" s="1"/>
  <c r="D14" i="2"/>
  <c r="D3" i="1"/>
  <c r="D3" i="2" l="1"/>
</calcChain>
</file>

<file path=xl/sharedStrings.xml><?xml version="1.0" encoding="utf-8"?>
<sst xmlns="http://schemas.openxmlformats.org/spreadsheetml/2006/main" count="62" uniqueCount="33">
  <si>
    <t>A</t>
  </si>
  <si>
    <t>B</t>
  </si>
  <si>
    <t xml:space="preserve">P (A|B) = </t>
  </si>
  <si>
    <t>P(B)</t>
  </si>
  <si>
    <t xml:space="preserve"> P(B|A)</t>
  </si>
  <si>
    <t>P(A)</t>
  </si>
  <si>
    <t xml:space="preserve">P(A) </t>
  </si>
  <si>
    <t>John has malaria</t>
  </si>
  <si>
    <t>John has a high fever</t>
  </si>
  <si>
    <t>~A</t>
  </si>
  <si>
    <t>John does not have malaria</t>
  </si>
  <si>
    <t>~B</t>
  </si>
  <si>
    <t>P(B|A)</t>
  </si>
  <si>
    <t>P(B|~A)</t>
  </si>
  <si>
    <t>John does NOT have a high fever</t>
  </si>
  <si>
    <t>John has a high fever given that he does NOT have malaria</t>
  </si>
  <si>
    <t>John has high fever give given that he has malaria</t>
  </si>
  <si>
    <t xml:space="preserve">P(B) = </t>
  </si>
  <si>
    <t>+</t>
  </si>
  <si>
    <t>P(~A)</t>
  </si>
  <si>
    <t>P(A|B)</t>
  </si>
  <si>
    <t xml:space="preserve">P (A|~B) = </t>
  </si>
  <si>
    <t>P(A|~B)</t>
  </si>
  <si>
    <t>P(~B)</t>
  </si>
  <si>
    <t xml:space="preserve"> P(~B|A)</t>
  </si>
  <si>
    <t>P(~B|A)</t>
  </si>
  <si>
    <t>Probability</t>
  </si>
  <si>
    <t>Toothache</t>
  </si>
  <si>
    <t>Not toothache</t>
  </si>
  <si>
    <t>Have a cavity</t>
  </si>
  <si>
    <t>Do not have a cavity</t>
  </si>
  <si>
    <t>Have a cavity given toothache</t>
  </si>
  <si>
    <t>Not have a cavity given toothache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</si>
</sst>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2" borderId="0" xfId="0" applyFill="1"/>
    <xf numFmtId="0" fontId="1" fillId="0" borderId="0" xfId="0" applyFont="1"/>
    <xf numFmtId="164" fontId="1" fillId="0" borderId="0" xfId="0" applyNumberFormat="1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EFEE0F-9AD6-405D-BB42-0D9FB19C8DE3}">
  <dimension ref="C2:N19"/>
  <sheetViews>
    <sheetView tabSelected="1" zoomScale="145" zoomScaleNormal="145" workbookViewId="0">
      <selection activeCell="D2" sqref="D2"/>
    </sheetView>
  </sheetViews>
  <sheetFormatPr defaultRowHeight="15" x14ac:dyDescent="0.25"/>
  <cols>
    <col min="4" max="4" width="19.140625" bestFit="1" customWidth="1"/>
    <col min="5" max="5" width="11" customWidth="1"/>
    <col min="6" max="6" width="7" style="1" customWidth="1"/>
    <col min="7" max="7" width="7.5703125" style="1" customWidth="1"/>
  </cols>
  <sheetData>
    <row r="2" spans="3:14" x14ac:dyDescent="0.25">
      <c r="D2" s="4" t="s">
        <v>26</v>
      </c>
    </row>
    <row r="3" spans="3:14" x14ac:dyDescent="0.25">
      <c r="C3" s="4" t="s">
        <v>20</v>
      </c>
      <c r="D3" s="4">
        <f>(K4*J4)/I4</f>
        <v>5.3548096900636144E-4</v>
      </c>
      <c r="E3" t="s">
        <v>2</v>
      </c>
      <c r="F3" s="1" t="s">
        <v>6</v>
      </c>
      <c r="G3" s="2" t="s">
        <v>4</v>
      </c>
      <c r="I3" t="s">
        <v>17</v>
      </c>
      <c r="J3" t="s">
        <v>12</v>
      </c>
      <c r="K3" t="s">
        <v>5</v>
      </c>
      <c r="L3" s="1" t="s">
        <v>18</v>
      </c>
      <c r="M3" t="s">
        <v>13</v>
      </c>
      <c r="N3" t="s">
        <v>19</v>
      </c>
    </row>
    <row r="4" spans="3:14" x14ac:dyDescent="0.25">
      <c r="F4" s="6" t="s">
        <v>3</v>
      </c>
      <c r="G4" s="6"/>
      <c r="I4" s="4">
        <f>J4*K4+M4*N4</f>
        <v>0.14006100000000002</v>
      </c>
      <c r="J4">
        <f>D16</f>
        <v>0.75</v>
      </c>
      <c r="K4">
        <f>D10</f>
        <v>1E-4</v>
      </c>
      <c r="M4">
        <f>D17</f>
        <v>0.14000000000000001</v>
      </c>
      <c r="N4">
        <f>D11</f>
        <v>0.99990000000000001</v>
      </c>
    </row>
    <row r="6" spans="3:14" x14ac:dyDescent="0.25">
      <c r="C6" s="4" t="s">
        <v>22</v>
      </c>
      <c r="D6" s="5">
        <f>(D10*D19)/I7</f>
        <v>2.9071829513488748E-5</v>
      </c>
      <c r="E6" t="s">
        <v>21</v>
      </c>
      <c r="F6" s="1" t="s">
        <v>6</v>
      </c>
      <c r="G6" s="2" t="s">
        <v>24</v>
      </c>
      <c r="I6" t="s">
        <v>23</v>
      </c>
      <c r="L6" s="1"/>
    </row>
    <row r="7" spans="3:14" x14ac:dyDescent="0.25">
      <c r="F7" s="6" t="s">
        <v>23</v>
      </c>
      <c r="G7" s="6"/>
      <c r="I7" s="4">
        <f>1-I4</f>
        <v>0.85993900000000001</v>
      </c>
    </row>
    <row r="10" spans="3:14" x14ac:dyDescent="0.25">
      <c r="C10" t="s">
        <v>0</v>
      </c>
      <c r="D10" s="3">
        <v>1E-4</v>
      </c>
      <c r="F10" t="s">
        <v>7</v>
      </c>
    </row>
    <row r="11" spans="3:14" x14ac:dyDescent="0.25">
      <c r="C11" t="s">
        <v>9</v>
      </c>
      <c r="D11">
        <f>1-D10</f>
        <v>0.99990000000000001</v>
      </c>
      <c r="F11" t="s">
        <v>10</v>
      </c>
    </row>
    <row r="13" spans="3:14" x14ac:dyDescent="0.25">
      <c r="C13" t="s">
        <v>1</v>
      </c>
      <c r="D13" s="4">
        <f>I4</f>
        <v>0.14006100000000002</v>
      </c>
      <c r="F13" s="2" t="s">
        <v>8</v>
      </c>
    </row>
    <row r="14" spans="3:14" x14ac:dyDescent="0.25">
      <c r="C14" t="s">
        <v>11</v>
      </c>
      <c r="D14" s="4">
        <f>1-D13</f>
        <v>0.85993900000000001</v>
      </c>
      <c r="F14" s="2" t="s">
        <v>14</v>
      </c>
    </row>
    <row r="16" spans="3:14" x14ac:dyDescent="0.25">
      <c r="C16" t="s">
        <v>12</v>
      </c>
      <c r="D16" s="3">
        <v>0.75</v>
      </c>
      <c r="F16" s="2" t="s">
        <v>16</v>
      </c>
    </row>
    <row r="17" spans="3:6" x14ac:dyDescent="0.25">
      <c r="C17" t="s">
        <v>13</v>
      </c>
      <c r="D17" s="3">
        <v>0.14000000000000001</v>
      </c>
      <c r="F17" s="2" t="s">
        <v>15</v>
      </c>
    </row>
    <row r="19" spans="3:6" x14ac:dyDescent="0.25">
      <c r="C19" t="s">
        <v>25</v>
      </c>
      <c r="D19" s="4">
        <f>1-D16</f>
        <v>0.25</v>
      </c>
    </row>
  </sheetData>
  <mergeCells count="2">
    <mergeCell ref="F4:G4"/>
    <mergeCell ref="F7:G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7CB9E-FCAD-4934-AD10-2E2BCE5C705E}">
  <dimension ref="C2:N19"/>
  <sheetViews>
    <sheetView zoomScale="145" zoomScaleNormal="145" workbookViewId="0">
      <selection activeCell="D17" sqref="D17"/>
    </sheetView>
  </sheetViews>
  <sheetFormatPr defaultRowHeight="15" x14ac:dyDescent="0.25"/>
  <cols>
    <col min="4" max="4" width="19.140625" bestFit="1" customWidth="1"/>
    <col min="5" max="5" width="11" customWidth="1"/>
    <col min="6" max="6" width="7" style="1" customWidth="1"/>
    <col min="7" max="7" width="7.5703125" style="1" customWidth="1"/>
  </cols>
  <sheetData>
    <row r="2" spans="3:14" x14ac:dyDescent="0.25">
      <c r="D2" s="4" t="s">
        <v>26</v>
      </c>
    </row>
    <row r="3" spans="3:14" x14ac:dyDescent="0.25">
      <c r="C3" s="4" t="s">
        <v>20</v>
      </c>
      <c r="D3" s="4">
        <f>(K4*J4)/I4</f>
        <v>0.32258064516129026</v>
      </c>
      <c r="E3" t="s">
        <v>2</v>
      </c>
      <c r="F3" s="1" t="s">
        <v>6</v>
      </c>
      <c r="G3" s="2" t="s">
        <v>4</v>
      </c>
      <c r="I3" t="s">
        <v>17</v>
      </c>
      <c r="J3" t="s">
        <v>12</v>
      </c>
      <c r="K3" t="s">
        <v>5</v>
      </c>
      <c r="L3" s="1" t="s">
        <v>18</v>
      </c>
      <c r="M3" t="s">
        <v>13</v>
      </c>
      <c r="N3" t="s">
        <v>19</v>
      </c>
    </row>
    <row r="4" spans="3:14" x14ac:dyDescent="0.25">
      <c r="F4" s="6" t="s">
        <v>3</v>
      </c>
      <c r="G4" s="6"/>
      <c r="I4" s="4">
        <f>J4*K4+M4*N4</f>
        <v>0.18600000000000003</v>
      </c>
      <c r="J4">
        <f>D16</f>
        <v>0.6</v>
      </c>
      <c r="K4">
        <f>D10</f>
        <v>0.1</v>
      </c>
      <c r="M4">
        <f>D17</f>
        <v>0.14000000000000001</v>
      </c>
      <c r="N4">
        <f>D11</f>
        <v>0.9</v>
      </c>
    </row>
    <row r="6" spans="3:14" x14ac:dyDescent="0.25">
      <c r="C6" s="4" t="s">
        <v>22</v>
      </c>
      <c r="D6" s="5">
        <f>(D10*D19)/I7</f>
        <v>4.9140049140049151E-2</v>
      </c>
      <c r="E6" t="s">
        <v>21</v>
      </c>
      <c r="F6" s="1" t="s">
        <v>6</v>
      </c>
      <c r="G6" s="2" t="s">
        <v>24</v>
      </c>
      <c r="I6" t="s">
        <v>23</v>
      </c>
      <c r="L6" s="1"/>
    </row>
    <row r="7" spans="3:14" x14ac:dyDescent="0.25">
      <c r="F7" s="6" t="s">
        <v>23</v>
      </c>
      <c r="G7" s="6"/>
      <c r="I7" s="4">
        <f>1-I4</f>
        <v>0.81399999999999995</v>
      </c>
    </row>
    <row r="10" spans="3:14" x14ac:dyDescent="0.25">
      <c r="C10" t="s">
        <v>0</v>
      </c>
      <c r="D10" s="3">
        <v>0.1</v>
      </c>
      <c r="F10" t="s">
        <v>27</v>
      </c>
    </row>
    <row r="11" spans="3:14" x14ac:dyDescent="0.25">
      <c r="C11" t="s">
        <v>9</v>
      </c>
      <c r="D11">
        <f>1-D10</f>
        <v>0.9</v>
      </c>
      <c r="F11" t="s">
        <v>28</v>
      </c>
    </row>
    <row r="13" spans="3:14" x14ac:dyDescent="0.25">
      <c r="C13" t="s">
        <v>1</v>
      </c>
      <c r="D13" s="4">
        <v>0.02</v>
      </c>
      <c r="F13" s="2" t="s">
        <v>29</v>
      </c>
    </row>
    <row r="14" spans="3:14" x14ac:dyDescent="0.25">
      <c r="C14" t="s">
        <v>11</v>
      </c>
      <c r="D14" s="4">
        <f>1-D13</f>
        <v>0.98</v>
      </c>
      <c r="F14" s="2" t="s">
        <v>30</v>
      </c>
    </row>
    <row r="16" spans="3:14" x14ac:dyDescent="0.25">
      <c r="C16" t="s">
        <v>12</v>
      </c>
      <c r="D16" s="3">
        <v>0.6</v>
      </c>
      <c r="F16" s="2" t="s">
        <v>31</v>
      </c>
    </row>
    <row r="17" spans="3:6" x14ac:dyDescent="0.25">
      <c r="C17" t="s">
        <v>13</v>
      </c>
      <c r="D17" s="3">
        <v>0.14000000000000001</v>
      </c>
      <c r="F17" s="2" t="s">
        <v>32</v>
      </c>
    </row>
    <row r="19" spans="3:6" x14ac:dyDescent="0.25">
      <c r="C19" t="s">
        <v>25</v>
      </c>
      <c r="D19" s="4">
        <f>1-D16</f>
        <v>0.4</v>
      </c>
    </row>
  </sheetData>
  <mergeCells count="2">
    <mergeCell ref="F4:G4"/>
    <mergeCell ref="F7:G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Tanimoto AI</vt:lpstr>
      <vt:lpstr>Russel Norvig AI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Lehman</dc:creator>
  <cp:lastModifiedBy>Jeff Lehman</cp:lastModifiedBy>
  <dcterms:created xsi:type="dcterms:W3CDTF">2024-03-13T14:33:53Z</dcterms:created>
  <dcterms:modified xsi:type="dcterms:W3CDTF">2024-03-13T16:50:21Z</dcterms:modified>
</cp:coreProperties>
</file>